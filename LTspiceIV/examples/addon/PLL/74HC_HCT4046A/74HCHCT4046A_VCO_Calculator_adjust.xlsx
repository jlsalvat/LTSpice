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19935" windowHeight="12210"/>
  </bookViews>
  <sheets>
    <sheet name="Tabelle1" sheetId="1" r:id="rId1"/>
    <sheet name="Tabelle2" sheetId="2" r:id="rId2"/>
    <sheet name="Tabelle3" sheetId="3" r:id="rId3"/>
  </sheets>
  <calcPr calcId="124519"/>
</workbook>
</file>

<file path=xl/calcChain.xml><?xml version="1.0" encoding="utf-8"?>
<calcChain xmlns="http://schemas.openxmlformats.org/spreadsheetml/2006/main">
  <c r="C9" i="1"/>
  <c r="C10"/>
  <c r="C8"/>
  <c r="E5"/>
  <c r="G4"/>
  <c r="D8" l="1"/>
  <c r="F8" s="1"/>
  <c r="D10"/>
  <c r="D9"/>
  <c r="F9" s="1"/>
  <c r="F10"/>
  <c r="E10"/>
  <c r="G10" s="1"/>
  <c r="E9" l="1"/>
  <c r="G9" s="1"/>
  <c r="H9" s="1"/>
  <c r="I9" s="1"/>
  <c r="B14" s="1"/>
  <c r="H10"/>
  <c r="I10" s="1"/>
  <c r="B15" s="1"/>
  <c r="E8"/>
  <c r="G8" s="1"/>
  <c r="H8" s="1"/>
  <c r="I8" s="1"/>
  <c r="B13" s="1"/>
  <c r="E13" l="1"/>
</calcChain>
</file>

<file path=xl/sharedStrings.xml><?xml version="1.0" encoding="utf-8"?>
<sst xmlns="http://schemas.openxmlformats.org/spreadsheetml/2006/main" count="42" uniqueCount="39">
  <si>
    <t>INPUT PARAMETERS</t>
  </si>
  <si>
    <t>CONSTANTS</t>
  </si>
  <si>
    <t>OUTPUT PARAMETERS</t>
  </si>
  <si>
    <t>FREQ.MIN</t>
  </si>
  <si>
    <t>FREQ.TYP</t>
  </si>
  <si>
    <t>FREQ.MAX</t>
  </si>
  <si>
    <t>[kHz]</t>
  </si>
  <si>
    <t>THIS SPREADSHEET IS A PORTATION FROM LOTUS 1-2-3   DESIGNED BY PHILIPS</t>
  </si>
  <si>
    <t>DOWNLOADED FROM WWW.CHANGPUAK.CH</t>
  </si>
  <si>
    <t>K2</t>
  </si>
  <si>
    <t>Ron(k)</t>
  </si>
  <si>
    <t>Vt</t>
  </si>
  <si>
    <t>Is(mA)</t>
  </si>
  <si>
    <t>Tp(ns)</t>
  </si>
  <si>
    <t>I2(mA)</t>
  </si>
  <si>
    <t>Cs(pF)</t>
  </si>
  <si>
    <t>C1 [pF]</t>
  </si>
  <si>
    <r>
      <t>R1 [k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]</t>
    </r>
  </si>
  <si>
    <r>
      <t>R2 [k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]</t>
    </r>
  </si>
  <si>
    <t>K1</t>
  </si>
  <si>
    <t>I1(mA)</t>
  </si>
  <si>
    <t>Il(mA)</t>
  </si>
  <si>
    <t>Vd</t>
  </si>
  <si>
    <t>Vs1</t>
  </si>
  <si>
    <t>Vs2</t>
  </si>
  <si>
    <t>Vs</t>
  </si>
  <si>
    <t>Fvco(kHz)</t>
  </si>
  <si>
    <t>V TUNE [V]</t>
  </si>
  <si>
    <r>
      <t>K</t>
    </r>
    <r>
      <rPr>
        <b/>
        <sz val="8"/>
        <color theme="0"/>
        <rFont val="Calibri"/>
        <family val="2"/>
        <scheme val="minor"/>
      </rPr>
      <t>VCO</t>
    </r>
  </si>
  <si>
    <t>kHz / V</t>
  </si>
  <si>
    <t>file:///E:/Work/ScrapBook/data/20110913202352/index.html</t>
  </si>
  <si>
    <t>3n</t>
  </si>
  <si>
    <t>2n</t>
  </si>
  <si>
    <t>1n</t>
  </si>
  <si>
    <t>500p</t>
  </si>
  <si>
    <t>300p</t>
  </si>
  <si>
    <t>700p</t>
  </si>
  <si>
    <t>100p</t>
  </si>
  <si>
    <t>74HC4046_ model Cinternal=10p</t>
  </si>
</sst>
</file>

<file path=xl/styles.xml><?xml version="1.0" encoding="utf-8"?>
<styleSheet xmlns="http://schemas.openxmlformats.org/spreadsheetml/2006/main">
  <numFmts count="4">
    <numFmt numFmtId="164" formatCode="0.00_)"/>
    <numFmt numFmtId="165" formatCode="0E+00_)"/>
    <numFmt numFmtId="166" formatCode="0_)"/>
    <numFmt numFmtId="167" formatCode="#,##0.000"/>
  </numFmts>
  <fonts count="9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center"/>
    </xf>
    <xf numFmtId="164" fontId="0" fillId="0" borderId="0" xfId="0" applyNumberFormat="1" applyAlignment="1" applyProtection="1">
      <alignment horizontal="right"/>
    </xf>
    <xf numFmtId="166" fontId="0" fillId="0" borderId="0" xfId="0" applyNumberFormat="1" applyAlignment="1" applyProtection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center"/>
    </xf>
    <xf numFmtId="164" fontId="0" fillId="0" borderId="9" xfId="0" applyNumberFormat="1" applyBorder="1" applyAlignment="1" applyProtection="1">
      <alignment horizontal="center"/>
    </xf>
    <xf numFmtId="0" fontId="0" fillId="0" borderId="4" xfId="0" applyBorder="1"/>
    <xf numFmtId="167" fontId="0" fillId="0" borderId="0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left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9" xfId="0" applyNumberFormat="1" applyBorder="1" applyAlignment="1" applyProtection="1">
      <alignment horizontal="right"/>
    </xf>
    <xf numFmtId="0" fontId="0" fillId="0" borderId="10" xfId="0" applyBorder="1" applyAlignment="1">
      <alignment horizontal="right"/>
    </xf>
    <xf numFmtId="164" fontId="0" fillId="0" borderId="11" xfId="0" applyNumberFormat="1" applyBorder="1" applyAlignment="1" applyProtection="1">
      <alignment horizontal="center"/>
    </xf>
    <xf numFmtId="165" fontId="0" fillId="0" borderId="11" xfId="0" applyNumberFormat="1" applyBorder="1" applyAlignment="1" applyProtection="1">
      <alignment horizontal="center"/>
    </xf>
    <xf numFmtId="164" fontId="0" fillId="0" borderId="12" xfId="0" applyNumberFormat="1" applyBorder="1" applyAlignment="1" applyProtection="1">
      <alignment horizontal="right"/>
    </xf>
    <xf numFmtId="166" fontId="0" fillId="0" borderId="12" xfId="0" applyNumberFormat="1" applyBorder="1" applyAlignment="1" applyProtection="1">
      <alignment horizontal="center"/>
    </xf>
    <xf numFmtId="164" fontId="0" fillId="0" borderId="13" xfId="0" applyNumberFormat="1" applyBorder="1" applyAlignment="1" applyProtection="1">
      <alignment horizontal="center"/>
    </xf>
    <xf numFmtId="164" fontId="4" fillId="2" borderId="1" xfId="0" applyNumberFormat="1" applyFont="1" applyFill="1" applyBorder="1" applyAlignment="1" applyProtection="1">
      <alignment horizontal="center"/>
    </xf>
    <xf numFmtId="164" fontId="4" fillId="2" borderId="2" xfId="0" applyNumberFormat="1" applyFont="1" applyFill="1" applyBorder="1" applyAlignment="1" applyProtection="1">
      <alignment horizontal="center"/>
    </xf>
    <xf numFmtId="164" fontId="4" fillId="2" borderId="3" xfId="0" applyNumberFormat="1" applyFont="1" applyFill="1" applyBorder="1" applyAlignment="1" applyProtection="1">
      <alignment horizontal="center"/>
    </xf>
    <xf numFmtId="164" fontId="0" fillId="0" borderId="10" xfId="0" applyNumberFormat="1" applyBorder="1" applyAlignment="1" applyProtection="1">
      <alignment horizontal="center"/>
    </xf>
    <xf numFmtId="164" fontId="0" fillId="0" borderId="14" xfId="0" applyNumberFormat="1" applyBorder="1" applyAlignment="1" applyProtection="1">
      <alignment horizontal="center"/>
    </xf>
    <xf numFmtId="164" fontId="0" fillId="0" borderId="12" xfId="0" applyNumberFormat="1" applyBorder="1" applyAlignment="1" applyProtection="1">
      <alignment horizontal="center"/>
    </xf>
    <xf numFmtId="0" fontId="0" fillId="0" borderId="13" xfId="0" applyBorder="1"/>
    <xf numFmtId="2" fontId="0" fillId="0" borderId="14" xfId="0" applyNumberFormat="1" applyBorder="1" applyAlignment="1">
      <alignment horizontal="center"/>
    </xf>
    <xf numFmtId="0" fontId="0" fillId="0" borderId="9" xfId="0" applyBorder="1"/>
    <xf numFmtId="11" fontId="0" fillId="0" borderId="0" xfId="0" applyNumberFormat="1"/>
    <xf numFmtId="0" fontId="8" fillId="3" borderId="9" xfId="0" applyFont="1" applyFill="1" applyBorder="1"/>
    <xf numFmtId="0" fontId="0" fillId="0" borderId="9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v>my3n_R2=1M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Tabelle1!$L$5:$L$7</c:f>
              <c:numCache>
                <c:formatCode>General</c:formatCode>
                <c:ptCount val="3"/>
                <c:pt idx="0">
                  <c:v>64</c:v>
                </c:pt>
                <c:pt idx="1">
                  <c:v>147</c:v>
                </c:pt>
                <c:pt idx="2">
                  <c:v>230</c:v>
                </c:pt>
              </c:numCache>
            </c:numRef>
          </c:val>
        </c:ser>
        <c:ser>
          <c:idx val="1"/>
          <c:order val="1"/>
          <c:tx>
            <c:v>ETALON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Tabelle1!$I$8:$I$10</c:f>
              <c:numCache>
                <c:formatCode>0.00_)</c:formatCode>
                <c:ptCount val="3"/>
                <c:pt idx="0">
                  <c:v>252.01827494409432</c:v>
                </c:pt>
                <c:pt idx="1">
                  <c:v>599.16047244333913</c:v>
                </c:pt>
                <c:pt idx="2">
                  <c:v>1002.4699159101202</c:v>
                </c:pt>
              </c:numCache>
            </c:numRef>
          </c:val>
        </c:ser>
        <c:ser>
          <c:idx val="2"/>
          <c:order val="2"/>
          <c:tx>
            <c:v>my2n_R2=1M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Tabelle1!$M$5:$M$7</c:f>
              <c:numCache>
                <c:formatCode>General</c:formatCode>
                <c:ptCount val="3"/>
                <c:pt idx="0">
                  <c:v>96</c:v>
                </c:pt>
                <c:pt idx="1">
                  <c:v>220</c:v>
                </c:pt>
                <c:pt idx="2">
                  <c:v>345</c:v>
                </c:pt>
              </c:numCache>
            </c:numRef>
          </c:val>
        </c:ser>
        <c:ser>
          <c:idx val="3"/>
          <c:order val="3"/>
          <c:tx>
            <c:v>my1n_R2=1M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Tabelle1!$N$5:$N$7</c:f>
              <c:numCache>
                <c:formatCode>General</c:formatCode>
                <c:ptCount val="3"/>
                <c:pt idx="0">
                  <c:v>192</c:v>
                </c:pt>
                <c:pt idx="1">
                  <c:v>438</c:v>
                </c:pt>
                <c:pt idx="2">
                  <c:v>687</c:v>
                </c:pt>
              </c:numCache>
            </c:numRef>
          </c:val>
        </c:ser>
        <c:ser>
          <c:idx val="4"/>
          <c:order val="4"/>
          <c:tx>
            <c:v>my700p_R2=1M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Tabelle1!$O$5:$O$7</c:f>
              <c:numCache>
                <c:formatCode>General</c:formatCode>
                <c:ptCount val="3"/>
                <c:pt idx="0">
                  <c:v>270</c:v>
                </c:pt>
                <c:pt idx="1">
                  <c:v>620</c:v>
                </c:pt>
                <c:pt idx="2">
                  <c:v>980</c:v>
                </c:pt>
              </c:numCache>
            </c:numRef>
          </c:val>
        </c:ser>
        <c:ser>
          <c:idx val="5"/>
          <c:order val="5"/>
          <c:tx>
            <c:v>my500p_R2=1M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Tabelle1!$P$5:$P$7</c:f>
              <c:numCache>
                <c:formatCode>General</c:formatCode>
                <c:ptCount val="3"/>
                <c:pt idx="0">
                  <c:v>380</c:v>
                </c:pt>
                <c:pt idx="1">
                  <c:v>870</c:v>
                </c:pt>
                <c:pt idx="2">
                  <c:v>1360</c:v>
                </c:pt>
              </c:numCache>
            </c:numRef>
          </c:val>
        </c:ser>
        <c:ser>
          <c:idx val="6"/>
          <c:order val="6"/>
          <c:tx>
            <c:v>my300p_R2=1M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Tabelle1!$Q$5:$Q$7</c:f>
              <c:numCache>
                <c:formatCode>General</c:formatCode>
                <c:ptCount val="3"/>
                <c:pt idx="0">
                  <c:v>625</c:v>
                </c:pt>
                <c:pt idx="1">
                  <c:v>1430</c:v>
                </c:pt>
                <c:pt idx="2">
                  <c:v>2240</c:v>
                </c:pt>
              </c:numCache>
            </c:numRef>
          </c:val>
        </c:ser>
        <c:ser>
          <c:idx val="7"/>
          <c:order val="7"/>
          <c:tx>
            <c:v>my100p_R2=1M</c:v>
          </c:tx>
          <c:cat>
            <c:numRef>
              <c:f>Tabelle1!$K$5:$K$7</c:f>
              <c:numCache>
                <c:formatCode>0.00_)</c:formatCode>
                <c:ptCount val="3"/>
                <c:pt idx="0">
                  <c:v>1.1000000000000001</c:v>
                </c:pt>
                <c:pt idx="1">
                  <c:v>2.5</c:v>
                </c:pt>
                <c:pt idx="2">
                  <c:v>3.9</c:v>
                </c:pt>
              </c:numCache>
            </c:numRef>
          </c:cat>
          <c:val>
            <c:numRef>
              <c:f>Tabelle1!$R$5:$R$7</c:f>
              <c:numCache>
                <c:formatCode>General</c:formatCode>
                <c:ptCount val="3"/>
                <c:pt idx="0">
                  <c:v>1762</c:v>
                </c:pt>
                <c:pt idx="1">
                  <c:v>4025</c:v>
                </c:pt>
                <c:pt idx="2">
                  <c:v>6312</c:v>
                </c:pt>
              </c:numCache>
            </c:numRef>
          </c:val>
        </c:ser>
        <c:marker val="1"/>
        <c:axId val="90575616"/>
        <c:axId val="90577152"/>
      </c:lineChart>
      <c:catAx>
        <c:axId val="90575616"/>
        <c:scaling>
          <c:orientation val="minMax"/>
        </c:scaling>
        <c:axPos val="b"/>
        <c:numFmt formatCode="0.00_)" sourceLinked="1"/>
        <c:tickLblPos val="nextTo"/>
        <c:crossAx val="90577152"/>
        <c:crosses val="autoZero"/>
        <c:auto val="1"/>
        <c:lblAlgn val="ctr"/>
        <c:lblOffset val="100"/>
      </c:catAx>
      <c:valAx>
        <c:axId val="90577152"/>
        <c:scaling>
          <c:orientation val="minMax"/>
        </c:scaling>
        <c:axPos val="l"/>
        <c:majorGridlines/>
        <c:numFmt formatCode="General" sourceLinked="1"/>
        <c:tickLblPos val="nextTo"/>
        <c:crossAx val="905756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280708</xdr:colOff>
      <xdr:row>12</xdr:row>
      <xdr:rowOff>67235</xdr:rowOff>
    </xdr:from>
    <xdr:to>
      <xdr:col>23</xdr:col>
      <xdr:colOff>78442</xdr:colOff>
      <xdr:row>53</xdr:row>
      <xdr:rowOff>33617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zoomScale="85" zoomScaleNormal="85" workbookViewId="0">
      <selection activeCell="T6" sqref="T6"/>
    </sheetView>
  </sheetViews>
  <sheetFormatPr defaultColWidth="11.42578125" defaultRowHeight="15"/>
  <cols>
    <col min="2" max="2" width="11.5703125" customWidth="1"/>
  </cols>
  <sheetData>
    <row r="1" spans="1:18" ht="15.75" thickBot="1">
      <c r="A1" s="40" t="s">
        <v>0</v>
      </c>
      <c r="B1" s="41"/>
      <c r="C1" s="41"/>
      <c r="D1" s="46" t="s">
        <v>1</v>
      </c>
      <c r="E1" s="46"/>
      <c r="F1" s="46"/>
      <c r="G1" s="47"/>
    </row>
    <row r="2" spans="1:18">
      <c r="A2" s="22" t="s">
        <v>17</v>
      </c>
      <c r="B2" s="17">
        <v>10</v>
      </c>
      <c r="C2" s="18"/>
      <c r="D2" s="21" t="s">
        <v>9</v>
      </c>
      <c r="E2" s="9">
        <v>7.18</v>
      </c>
      <c r="F2" s="21" t="s">
        <v>10</v>
      </c>
      <c r="G2" s="23">
        <v>4.7E-2</v>
      </c>
    </row>
    <row r="3" spans="1:18" ht="15.75" thickBot="1">
      <c r="A3" s="22" t="s">
        <v>18</v>
      </c>
      <c r="B3" s="17">
        <v>1000000</v>
      </c>
      <c r="C3" s="19"/>
      <c r="D3" s="21" t="s">
        <v>11</v>
      </c>
      <c r="E3" s="9">
        <v>1.1200000000000001</v>
      </c>
      <c r="F3" s="21" t="s">
        <v>12</v>
      </c>
      <c r="G3" s="24">
        <v>4.9999999999999997E-12</v>
      </c>
      <c r="L3" s="39" t="s">
        <v>38</v>
      </c>
      <c r="M3" s="39"/>
      <c r="N3" s="39"/>
      <c r="O3" s="39"/>
      <c r="P3" s="39"/>
      <c r="Q3" s="39"/>
      <c r="R3" s="39"/>
    </row>
    <row r="4" spans="1:18">
      <c r="A4" s="22" t="s">
        <v>16</v>
      </c>
      <c r="B4" s="17">
        <v>700</v>
      </c>
      <c r="C4" s="19"/>
      <c r="D4" s="21" t="s">
        <v>13</v>
      </c>
      <c r="E4" s="9">
        <v>11.73</v>
      </c>
      <c r="F4" s="21" t="s">
        <v>14</v>
      </c>
      <c r="G4" s="23">
        <f>E2*(5-0.638)/B3</f>
        <v>3.1319160000000001E-5</v>
      </c>
      <c r="K4" s="28" t="s">
        <v>27</v>
      </c>
      <c r="L4" s="38" t="s">
        <v>31</v>
      </c>
      <c r="M4" s="38" t="s">
        <v>32</v>
      </c>
      <c r="N4" s="38" t="s">
        <v>33</v>
      </c>
      <c r="O4" s="38" t="s">
        <v>36</v>
      </c>
      <c r="P4" s="38" t="s">
        <v>34</v>
      </c>
      <c r="Q4" s="38" t="s">
        <v>35</v>
      </c>
      <c r="R4" s="38" t="s">
        <v>37</v>
      </c>
    </row>
    <row r="5" spans="1:18" ht="15.75" thickBot="1">
      <c r="A5" s="7"/>
      <c r="B5" s="8"/>
      <c r="C5" s="20"/>
      <c r="D5" s="25" t="s">
        <v>15</v>
      </c>
      <c r="E5" s="26">
        <f>11+B4</f>
        <v>711</v>
      </c>
      <c r="F5" s="25"/>
      <c r="G5" s="27"/>
      <c r="K5" s="31">
        <v>1.1000000000000001</v>
      </c>
      <c r="L5" s="36">
        <v>64</v>
      </c>
      <c r="M5" s="36">
        <v>96</v>
      </c>
      <c r="N5" s="36">
        <v>192</v>
      </c>
      <c r="O5" s="36">
        <v>270</v>
      </c>
      <c r="P5" s="36">
        <v>380</v>
      </c>
      <c r="Q5" s="36">
        <v>625</v>
      </c>
      <c r="R5" s="36">
        <v>1762</v>
      </c>
    </row>
    <row r="6" spans="1:18" ht="15.75" thickBot="1">
      <c r="A6" s="2"/>
      <c r="B6" s="1"/>
      <c r="C6" s="3"/>
      <c r="D6" s="5"/>
      <c r="E6" s="6"/>
      <c r="F6" s="5"/>
      <c r="G6" s="4"/>
      <c r="K6" s="31">
        <v>2.5</v>
      </c>
      <c r="L6" s="36">
        <v>147</v>
      </c>
      <c r="M6" s="36">
        <v>220</v>
      </c>
      <c r="N6" s="36">
        <v>438</v>
      </c>
      <c r="O6" s="36">
        <v>620</v>
      </c>
      <c r="P6" s="36">
        <v>870</v>
      </c>
      <c r="Q6" s="36">
        <v>1430</v>
      </c>
      <c r="R6" s="36">
        <v>4025</v>
      </c>
    </row>
    <row r="7" spans="1:18" ht="15.75" thickBot="1">
      <c r="A7" s="28" t="s">
        <v>27</v>
      </c>
      <c r="B7" s="29" t="s">
        <v>19</v>
      </c>
      <c r="C7" s="29" t="s">
        <v>20</v>
      </c>
      <c r="D7" s="29" t="s">
        <v>21</v>
      </c>
      <c r="E7" s="29" t="s">
        <v>22</v>
      </c>
      <c r="F7" s="29" t="s">
        <v>23</v>
      </c>
      <c r="G7" s="29" t="s">
        <v>24</v>
      </c>
      <c r="H7" s="29" t="s">
        <v>25</v>
      </c>
      <c r="I7" s="30" t="s">
        <v>26</v>
      </c>
      <c r="K7" s="32">
        <v>3.9</v>
      </c>
      <c r="L7" s="36">
        <v>230</v>
      </c>
      <c r="M7" s="36">
        <v>345</v>
      </c>
      <c r="N7" s="36">
        <v>687</v>
      </c>
      <c r="O7" s="36">
        <v>980</v>
      </c>
      <c r="P7" s="36">
        <v>1360</v>
      </c>
      <c r="Q7" s="36">
        <v>2240</v>
      </c>
      <c r="R7" s="36">
        <v>6312</v>
      </c>
    </row>
    <row r="8" spans="1:18">
      <c r="A8" s="31">
        <v>1.1000000000000001</v>
      </c>
      <c r="B8" s="9">
        <v>5.85</v>
      </c>
      <c r="C8" s="9">
        <f>B8*A8/$B$2</f>
        <v>0.64350000000000007</v>
      </c>
      <c r="D8" s="9">
        <f>$G$4+C8</f>
        <v>0.64353131916000006</v>
      </c>
      <c r="E8" s="9">
        <f>0.026*LN(D8/$G$3)</f>
        <v>0.6651007641300738</v>
      </c>
      <c r="F8" s="9">
        <f>2*($E$3-D8*$G$2)</f>
        <v>2.1795080559989604</v>
      </c>
      <c r="G8" s="9">
        <f>$E$3+E8</f>
        <v>1.7851007641300738</v>
      </c>
      <c r="H8" s="9">
        <f>MIN(F8:G8)</f>
        <v>1.7851007641300738</v>
      </c>
      <c r="I8" s="23">
        <f>(0.5*10^6)/(+$E$4+(+$E$5*H8/D8))</f>
        <v>252.01827494409432</v>
      </c>
    </row>
    <row r="9" spans="1:18">
      <c r="A9" s="31">
        <v>2.5</v>
      </c>
      <c r="B9" s="9">
        <v>6.25</v>
      </c>
      <c r="C9" s="9">
        <f t="shared" ref="C9:C10" si="0">B9*A9/$B$2</f>
        <v>1.5625</v>
      </c>
      <c r="D9" s="9">
        <f t="shared" ref="D9:D10" si="1">$G$4+C9</f>
        <v>1.5625313191600001</v>
      </c>
      <c r="E9" s="9">
        <f t="shared" ref="E9:E10" si="2">0.026*LN(D9/$G$3)</f>
        <v>0.68816514910479398</v>
      </c>
      <c r="F9" s="9">
        <f t="shared" ref="F9:F10" si="3">2*($E$3-D9*$G$2)</f>
        <v>2.0931220559989603</v>
      </c>
      <c r="G9" s="9">
        <f t="shared" ref="G9:G10" si="4">$E$3+E9</f>
        <v>1.8081651491047941</v>
      </c>
      <c r="H9" s="9">
        <f>MIN(F9:G9)</f>
        <v>1.8081651491047941</v>
      </c>
      <c r="I9" s="23">
        <f t="shared" ref="I9:I10" si="5">(0.5*10^6)/(+$E$4+(+$E$5*H9/D9))</f>
        <v>599.16047244333913</v>
      </c>
    </row>
    <row r="10" spans="1:18" ht="15.75" thickBot="1">
      <c r="A10" s="32">
        <v>3.9</v>
      </c>
      <c r="B10" s="33">
        <v>6.82</v>
      </c>
      <c r="C10" s="33">
        <f t="shared" si="0"/>
        <v>2.6597999999999997</v>
      </c>
      <c r="D10" s="33">
        <f t="shared" si="1"/>
        <v>2.6598313191599998</v>
      </c>
      <c r="E10" s="33">
        <f t="shared" si="2"/>
        <v>0.70199599367111987</v>
      </c>
      <c r="F10" s="33">
        <f t="shared" si="3"/>
        <v>1.9899758559989602</v>
      </c>
      <c r="G10" s="33">
        <f t="shared" si="4"/>
        <v>1.8219959936711199</v>
      </c>
      <c r="H10" s="33">
        <f>MIN(F10:G10)</f>
        <v>1.8219959936711199</v>
      </c>
      <c r="I10" s="27">
        <f t="shared" si="5"/>
        <v>1002.4699159101202</v>
      </c>
    </row>
    <row r="11" spans="1:18" ht="15.75" thickBot="1"/>
    <row r="12" spans="1:18">
      <c r="A12" s="42" t="s">
        <v>2</v>
      </c>
      <c r="B12" s="43"/>
      <c r="C12" s="44"/>
      <c r="E12" s="48" t="s">
        <v>28</v>
      </c>
      <c r="F12" s="49"/>
    </row>
    <row r="13" spans="1:18" ht="15.75" thickBot="1">
      <c r="A13" s="10" t="s">
        <v>3</v>
      </c>
      <c r="B13" s="11">
        <f>I8</f>
        <v>252.01827494409432</v>
      </c>
      <c r="C13" s="12" t="s">
        <v>6</v>
      </c>
      <c r="E13" s="35">
        <f>(B15-B13)/(3.9-1.1)</f>
        <v>268.01844320215213</v>
      </c>
      <c r="F13" s="34" t="s">
        <v>29</v>
      </c>
    </row>
    <row r="14" spans="1:18">
      <c r="A14" s="10" t="s">
        <v>4</v>
      </c>
      <c r="B14" s="11">
        <f t="shared" ref="B14:B15" si="6">I9</f>
        <v>599.16047244333913</v>
      </c>
      <c r="C14" s="12" t="s">
        <v>6</v>
      </c>
    </row>
    <row r="15" spans="1:18" ht="15.75" thickBot="1">
      <c r="A15" s="13" t="s">
        <v>5</v>
      </c>
      <c r="B15" s="14">
        <f t="shared" si="6"/>
        <v>1002.4699159101202</v>
      </c>
      <c r="C15" s="15" t="s">
        <v>6</v>
      </c>
    </row>
    <row r="17" spans="1:6">
      <c r="A17" s="45" t="s">
        <v>7</v>
      </c>
      <c r="B17" s="45"/>
      <c r="C17" s="45"/>
      <c r="D17" s="45"/>
      <c r="E17" s="45"/>
      <c r="F17" s="45"/>
    </row>
    <row r="18" spans="1:6">
      <c r="A18" s="16" t="s">
        <v>8</v>
      </c>
    </row>
    <row r="23" spans="1:6">
      <c r="F23" t="s">
        <v>30</v>
      </c>
    </row>
    <row r="25" spans="1:6">
      <c r="B25" s="37"/>
    </row>
    <row r="26" spans="1:6">
      <c r="B26" s="37"/>
    </row>
    <row r="27" spans="1:6">
      <c r="B27" s="37"/>
    </row>
    <row r="28" spans="1:6">
      <c r="B28" s="37"/>
    </row>
    <row r="29" spans="1:6">
      <c r="B29" s="37"/>
    </row>
    <row r="30" spans="1:6">
      <c r="B30" s="37"/>
    </row>
    <row r="31" spans="1:6">
      <c r="B31" s="37"/>
    </row>
    <row r="32" spans="1:6">
      <c r="B32" s="37"/>
    </row>
  </sheetData>
  <mergeCells count="6">
    <mergeCell ref="L3:R3"/>
    <mergeCell ref="A1:C1"/>
    <mergeCell ref="A12:C12"/>
    <mergeCell ref="A17:F17"/>
    <mergeCell ref="D1:G1"/>
    <mergeCell ref="E12:F12"/>
  </mergeCells>
  <pageMargins left="0.70866141732283472" right="0.70866141732283472" top="0.78740157480314965" bottom="0.78740157480314965" header="0.31496062992125984" footer="0.31496062992125984"/>
  <pageSetup paperSize="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CHANGPUAK</dc:creator>
  <cp:lastModifiedBy>ZVER4IK</cp:lastModifiedBy>
  <cp:lastPrinted>2007-08-30T07:49:14Z</cp:lastPrinted>
  <dcterms:created xsi:type="dcterms:W3CDTF">2007-08-29T13:03:41Z</dcterms:created>
  <dcterms:modified xsi:type="dcterms:W3CDTF">2011-09-17T13:36:24Z</dcterms:modified>
</cp:coreProperties>
</file>